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ei\Desktop\arquivos\AULAS\"/>
    </mc:Choice>
  </mc:AlternateContent>
  <xr:revisionPtr revIDLastSave="0" documentId="8_{0574190B-D2F5-4B09-81A6-D2CC9746D08C}" xr6:coauthVersionLast="47" xr6:coauthVersionMax="47" xr10:uidLastSave="{00000000-0000-0000-0000-000000000000}"/>
  <bookViews>
    <workbookView xWindow="-120" yWindow="-120" windowWidth="29040" windowHeight="16440" activeTab="3" xr2:uid="{1A4EC8DF-2223-433E-BF72-D0853E81CE14}"/>
  </bookViews>
  <sheets>
    <sheet name="Ex.excel01" sheetId="1" r:id="rId1"/>
    <sheet name="Ex.excel02" sheetId="2" r:id="rId2"/>
    <sheet name="Ex.excel03" sheetId="3" r:id="rId3"/>
    <sheet name="Ex.excel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G7" i="3"/>
  <c r="G3" i="3"/>
  <c r="G4" i="3"/>
  <c r="G5" i="3"/>
  <c r="G6" i="3"/>
  <c r="D3" i="2"/>
  <c r="D4" i="2"/>
  <c r="D5" i="2"/>
  <c r="D6" i="2"/>
  <c r="D7" i="2"/>
  <c r="D8" i="2"/>
</calcChain>
</file>

<file path=xl/sharedStrings.xml><?xml version="1.0" encoding="utf-8"?>
<sst xmlns="http://schemas.openxmlformats.org/spreadsheetml/2006/main" count="71" uniqueCount="60">
  <si>
    <t>ID_produto</t>
  </si>
  <si>
    <t>Tipo_de_Cafe</t>
  </si>
  <si>
    <t>Tamanho</t>
  </si>
  <si>
    <t>Valor_Unitario</t>
  </si>
  <si>
    <t>Quantidade</t>
  </si>
  <si>
    <t>Tabela de Produtos da Cafeteria</t>
  </si>
  <si>
    <t>Ara</t>
  </si>
  <si>
    <t>Lib</t>
  </si>
  <si>
    <t>Rob</t>
  </si>
  <si>
    <t>G</t>
  </si>
  <si>
    <t>M</t>
  </si>
  <si>
    <t>P</t>
  </si>
  <si>
    <t>Falidos e Quebrados LTDA.</t>
  </si>
  <si>
    <t>Funcionário</t>
  </si>
  <si>
    <t>Produtos</t>
  </si>
  <si>
    <t>Vendas</t>
  </si>
  <si>
    <t>Resultado</t>
  </si>
  <si>
    <t>Abrilina</t>
  </si>
  <si>
    <t>Cheropita</t>
  </si>
  <si>
    <t>Aldegunda</t>
  </si>
  <si>
    <t>Aquibaldo</t>
  </si>
  <si>
    <t>Clarisbadeu</t>
  </si>
  <si>
    <t>Fredolino</t>
  </si>
  <si>
    <t>Mouse</t>
  </si>
  <si>
    <t>Teclado</t>
  </si>
  <si>
    <t>Monitor</t>
  </si>
  <si>
    <t>Gabinete</t>
  </si>
  <si>
    <t>Disquete</t>
  </si>
  <si>
    <t>Impressora</t>
  </si>
  <si>
    <t>Notas Escolares</t>
  </si>
  <si>
    <t>RA</t>
  </si>
  <si>
    <t>Nome do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</si>
  <si>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</si>
  <si>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</si>
  <si>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</si>
  <si>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</si>
  <si>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</si>
  <si>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</si>
  <si>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</si>
  <si>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</si>
  <si>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</si>
  <si>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Nome</t>
  </si>
  <si>
    <t>Idade</t>
  </si>
  <si>
    <t>Ensino Médio</t>
  </si>
  <si>
    <t>Curso Técnico</t>
  </si>
  <si>
    <t>Anos de Experiencia na área</t>
  </si>
  <si>
    <t>Situação</t>
  </si>
  <si>
    <t>Recrutamento pra vaga de emprego</t>
  </si>
  <si>
    <t>Alfa Romeu Julia</t>
  </si>
  <si>
    <t>Fusclaudia de Oliveira</t>
  </si>
  <si>
    <t>Unotavio dos Santos</t>
  </si>
  <si>
    <t>Nissan Silvia</t>
  </si>
  <si>
    <t>Ferrari Enzo</t>
  </si>
  <si>
    <t>Não</t>
  </si>
  <si>
    <t>Sim</t>
  </si>
  <si>
    <t>Requisitos para ser contratado</t>
  </si>
  <si>
    <t>Ter idade maior ou igual a 18</t>
  </si>
  <si>
    <t>Ter ensino médio completo</t>
  </si>
  <si>
    <t>Ter curso de vendedor</t>
  </si>
  <si>
    <t>Ter no minimo 3 anos de Experiencia na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</si>
</sst>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7"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rgb="FF9C0006"/>
      </font>
    </dxf>
    <dxf>
      <numFmt numFmtId="0" formatCode="General"/>
    </dxf>
    <dxf>
      <font>
        <color rgb="FF9C0006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9C0006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color rgb="FF9C0006"/>
      </font>
    </dxf>
    <dxf>
      <font>
        <color rgb="FFFF0000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numFmt numFmtId="0" formatCode="General"/>
    </dxf>
    <dxf>
      <alignment horizontal="center" vertical="bottom" textRotation="0" wrapText="1" indent="0" justifyLastLine="0" shrinkToFit="0" readingOrder="0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00DDA-D12F-4F86-8212-FC4FF2F9D13F}" name="Tabela1" displayName="Tabela1" ref="A2:E6" totalsRowShown="0" headerRowDxfId="35">
  <autoFilter ref="A2:E6" xr:uid="{FA200DDA-D12F-4F86-8212-FC4FF2F9D13F}"/>
  <tableColumns count="5">
    <tableColumn id="1" xr3:uid="{C41F0520-DEE1-47B5-9EC9-1E6B68D3F88B}" name="ID_produto"/>
    <tableColumn id="2" xr3:uid="{B4AD9DCD-03BD-411F-866F-3AD30249211C}" name="Tipo_de_Cafe"/>
    <tableColumn id="3" xr3:uid="{FF023EE3-004B-469C-BB15-B102409B4783}" name="Tamanho"/>
    <tableColumn id="4" xr3:uid="{A010D409-C391-4B67-B0BF-42440329D25B}" name="Valor_Unitario" dataDxfId="36"/>
    <tableColumn id="5" xr3:uid="{00112E88-A798-4CB0-9DA8-B03C36F9D8DF}" name="Quantidad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DE386-ADD0-4B76-A8D2-F81B4039DF3F}" name="Tabela2" displayName="Tabela2" ref="A2:D8" totalsRowShown="0">
  <autoFilter ref="A2:D8" xr:uid="{841DE386-ADD0-4B76-A8D2-F81B4039DF3F}"/>
  <tableColumns count="4">
    <tableColumn id="1" xr3:uid="{A7596A92-4D1F-487A-A6DC-2A4D456D0E96}" name="Funcionário"/>
    <tableColumn id="2" xr3:uid="{8CD88517-9441-4BE2-9100-AAB4DF65B4FD}" name="Produtos"/>
    <tableColumn id="3" xr3:uid="{A2D6AB98-6180-4849-8D34-F9A703B44620}" name="Vendas"/>
    <tableColumn id="4" xr3:uid="{D76C2FC6-B8D7-4A65-B482-888E27C57484}" name="Resultado" dataDxfId="34">
      <calculatedColumnFormula>IF(Tabela2[[#This Row],[Vendas]]&gt;5, "Ótimo", IF(Tabela2[[#This Row],[Vendas]]=5, "Regular", "Péssimo"))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CF328D-091F-48F9-B99D-5826F214140A}" name="Tabela3" displayName="Tabela3" ref="A2:G7" totalsRowShown="0">
  <autoFilter ref="A2:G7" xr:uid="{00CF328D-091F-48F9-B99D-5826F214140A}"/>
  <tableColumns count="7">
    <tableColumn id="1" xr3:uid="{E675D696-2400-44FE-A8F0-AA45A58F5B9E}" name="RA"/>
    <tableColumn id="2" xr3:uid="{C2EEAF80-A85D-46DD-B8D5-82430F0D92B3}" name="Nome do Aluno"/>
    <tableColumn id="3" xr3:uid="{A2DA04AC-5D46-4367-8E8A-8CA1D52FBE19}" name="Nota 1 Trimestre" dataDxfId="22"/>
    <tableColumn id="4" xr3:uid="{9EA6B649-610F-40F8-A0AF-1114C2637B64}" name="Nota 2 Trimestre" dataDxfId="21"/>
    <tableColumn id="5" xr3:uid="{A03039C6-DC5F-495A-A9AA-667BFFEBD635}" name="Nota 3 Trimestre" dataDxfId="20"/>
    <tableColumn id="6" xr3:uid="{72B1F307-EF36-41B5-82E7-4AE50FDECE2D}" name="Média Final" dataDxfId="18"/>
    <tableColumn id="7" xr3:uid="{0EF7AE32-28B6-406F-9B8A-C432569F0E0D}" name="Resultado" dataDxfId="19">
      <calculatedColumnFormula>IF(Tabela3[[#This Row],[Média Final]] &gt; 6, "Aprovado", "Reprovado")</calculatedColumnFormula>
    </tableColumn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801BF0-4E53-4A0F-85D2-46F546C01AA6}" name="Tabela4" displayName="Tabela4" ref="A2:F7" totalsRowShown="0">
  <autoFilter ref="A2:F7" xr:uid="{C1801BF0-4E53-4A0F-85D2-46F546C01AA6}"/>
  <tableColumns count="6">
    <tableColumn id="1" xr3:uid="{64886C08-AB3A-410B-86A1-570446F6068B}" name="Nome" dataDxfId="17"/>
    <tableColumn id="2" xr3:uid="{703A765C-9D72-4911-84EE-DC10D6417E3C}" name="Idade" dataDxfId="16"/>
    <tableColumn id="3" xr3:uid="{64DB0C44-2054-4598-B1CD-EC5D34B3578E}" name="Ensino Médio" dataDxfId="15"/>
    <tableColumn id="4" xr3:uid="{CAC2F53C-D4C7-4EB1-84E3-F87387F29D98}" name="Curso Técnico" dataDxfId="14"/>
    <tableColumn id="5" xr3:uid="{517CF707-0F69-40D3-A574-F016AA99FD1B}" name="Anos de Experiencia na área" dataDxfId="13"/>
    <tableColumn id="6" xr3:uid="{A6233EDD-4A06-4A2C-8AF1-6F7988ED37CD}" name="Situação" dataDxfId="8">
      <calculatedColumnFormula>IF(AND(Tabela4[[#This Row],[Idade]]&gt;=18, Tabela4[[#This Row],[Ensino Médio]]="Sim", Tabela4[[#This Row],[Curso Técnico]]="Sim",Tabela4[[#This Row],[Anos de Experiencia na área]]&gt;=3), "Aptop", "Não apto")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4D81-A0BD-46F6-953F-D99F7BADC604}">
  <dimension ref="A1:E6"/>
  <sheetViews>
    <sheetView zoomScale="145" zoomScaleNormal="145" workbookViewId="0">
      <selection activeCell="G3" sqref="G3"/>
    </sheetView>
  </sheetViews>
  <sheetFormatPr defaultRowHeight="15" x14ac:dyDescent="0.25"/>
  <cols>
    <col min="1" max="1" width="12.85546875" customWidth="1"/>
    <col min="2" max="2" width="16.7109375" customWidth="1"/>
    <col min="3" max="3" width="14.7109375" customWidth="1"/>
    <col min="4" max="4" width="15.85546875" customWidth="1"/>
    <col min="5" max="5" width="16.140625" customWidth="1"/>
  </cols>
  <sheetData>
    <row r="1" spans="1:5" x14ac:dyDescent="0.25">
      <c r="A1" s="2" t="s">
        <v>5</v>
      </c>
      <c r="B1" s="2"/>
      <c r="C1" s="2"/>
      <c r="D1" s="2"/>
      <c r="E1" s="2"/>
    </row>
    <row r="2" spans="1: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5">
      <c r="A3">
        <v>2</v>
      </c>
      <c r="B3" t="s">
        <v>6</v>
      </c>
      <c r="C3" t="s">
        <v>9</v>
      </c>
      <c r="D3" s="3">
        <v>29.79</v>
      </c>
      <c r="E3">
        <v>20</v>
      </c>
    </row>
    <row r="4" spans="1:5" x14ac:dyDescent="0.25">
      <c r="A4">
        <v>1</v>
      </c>
      <c r="B4" t="s">
        <v>6</v>
      </c>
      <c r="C4" t="s">
        <v>9</v>
      </c>
      <c r="D4" s="3">
        <v>3.89</v>
      </c>
      <c r="E4">
        <v>10</v>
      </c>
    </row>
    <row r="5" spans="1:5" x14ac:dyDescent="0.25">
      <c r="A5">
        <v>3</v>
      </c>
      <c r="B5" t="s">
        <v>7</v>
      </c>
      <c r="C5" t="s">
        <v>10</v>
      </c>
      <c r="D5" s="3">
        <v>3.38</v>
      </c>
      <c r="E5">
        <v>30</v>
      </c>
    </row>
    <row r="6" spans="1:5" x14ac:dyDescent="0.25">
      <c r="A6">
        <v>4</v>
      </c>
      <c r="B6" t="s">
        <v>8</v>
      </c>
      <c r="C6" t="s">
        <v>11</v>
      </c>
      <c r="D6" s="3">
        <v>13.43</v>
      </c>
      <c r="E6">
        <v>40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302D-37A3-4DBC-8CAC-CEFB273DB1A7}">
  <dimension ref="A1:D8"/>
  <sheetViews>
    <sheetView zoomScale="130" zoomScaleNormal="130" workbookViewId="0">
      <selection activeCell="D4" sqref="D4"/>
    </sheetView>
  </sheetViews>
  <sheetFormatPr defaultRowHeight="15" x14ac:dyDescent="0.25"/>
  <cols>
    <col min="1" max="1" width="25" bestFit="1" customWidth="1"/>
    <col min="2" max="2" width="11.140625" bestFit="1" customWidth="1"/>
    <col min="3" max="3" width="8.5703125" customWidth="1"/>
    <col min="4" max="4" width="11" customWidth="1"/>
  </cols>
  <sheetData>
    <row r="1" spans="1:4" x14ac:dyDescent="0.25">
      <c r="A1" s="5" t="s">
        <v>12</v>
      </c>
      <c r="B1" s="5"/>
      <c r="C1" s="5"/>
      <c r="D1" s="5"/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  <row r="3" spans="1:4" x14ac:dyDescent="0.25">
      <c r="A3" t="s">
        <v>17</v>
      </c>
      <c r="B3" t="s">
        <v>23</v>
      </c>
      <c r="C3">
        <v>8</v>
      </c>
      <c r="D3" t="str">
        <f>IF(Tabela2[[#This Row],[Vendas]]&gt;5, "Ótimo", IF(Tabela2[[#This Row],[Vendas]]=5, "Regular", "Péssimo"))</f>
        <v>Ótimo</v>
      </c>
    </row>
    <row r="4" spans="1:4" x14ac:dyDescent="0.25">
      <c r="A4" t="s">
        <v>18</v>
      </c>
      <c r="B4" t="s">
        <v>24</v>
      </c>
      <c r="C4">
        <v>5</v>
      </c>
      <c r="D4" t="str">
        <f>IF(Tabela2[[#This Row],[Vendas]]&gt;5, "Ótimo", IF(Tabela2[[#This Row],[Vendas]]=5, "Regular", "Péssimo"))</f>
        <v>Regular</v>
      </c>
    </row>
    <row r="5" spans="1:4" x14ac:dyDescent="0.25">
      <c r="A5" t="s">
        <v>19</v>
      </c>
      <c r="B5" t="s">
        <v>25</v>
      </c>
      <c r="C5">
        <v>9</v>
      </c>
      <c r="D5" t="str">
        <f>IF(Tabela2[[#This Row],[Vendas]]&gt;5, "Ótimo", IF(Tabela2[[#This Row],[Vendas]]=5, "Regular", "Péssimo"))</f>
        <v>Ótimo</v>
      </c>
    </row>
    <row r="6" spans="1:4" x14ac:dyDescent="0.25">
      <c r="A6" t="s">
        <v>20</v>
      </c>
      <c r="B6" t="s">
        <v>26</v>
      </c>
      <c r="C6">
        <v>4</v>
      </c>
      <c r="D6" t="str">
        <f>IF(Tabela2[[#This Row],[Vendas]]&gt;5, "Ótimo", IF(Tabela2[[#This Row],[Vendas]]=5, "Regular", "Péssimo"))</f>
        <v>Péssimo</v>
      </c>
    </row>
    <row r="7" spans="1:4" x14ac:dyDescent="0.25">
      <c r="A7" t="s">
        <v>21</v>
      </c>
      <c r="B7" t="s">
        <v>27</v>
      </c>
      <c r="C7">
        <v>6</v>
      </c>
      <c r="D7" t="str">
        <f>IF(Tabela2[[#This Row],[Vendas]]&gt;5, "Ótimo", IF(Tabela2[[#This Row],[Vendas]]=5, "Regular", "Péssimo"))</f>
        <v>Ótimo</v>
      </c>
    </row>
    <row r="8" spans="1:4" x14ac:dyDescent="0.25">
      <c r="A8" t="s">
        <v>22</v>
      </c>
      <c r="B8" t="s">
        <v>28</v>
      </c>
      <c r="C8">
        <v>3</v>
      </c>
      <c r="D8" t="str">
        <f>IF(Tabela2[[#This Row],[Vendas]]&gt;5, "Ótimo", IF(Tabela2[[#This Row],[Vendas]]=5, "Regular", "Péssimo"))</f>
        <v>Péssimo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9F5E-4D7D-4E4F-9FAC-39243D460770}">
  <dimension ref="A1:G7"/>
  <sheetViews>
    <sheetView workbookViewId="0">
      <selection activeCell="F10" sqref="F10"/>
    </sheetView>
  </sheetViews>
  <sheetFormatPr defaultRowHeight="15" x14ac:dyDescent="0.25"/>
  <cols>
    <col min="2" max="2" width="16.7109375" customWidth="1"/>
    <col min="3" max="5" width="17.5703125" customWidth="1"/>
    <col min="6" max="6" width="13.42578125" customWidth="1"/>
    <col min="7" max="7" width="16.5703125" customWidth="1"/>
  </cols>
  <sheetData>
    <row r="1" spans="1:7" ht="15.75" x14ac:dyDescent="0.25">
      <c r="A1" s="6" t="s">
        <v>29</v>
      </c>
      <c r="B1" s="6"/>
      <c r="C1" s="6"/>
      <c r="D1" s="6"/>
      <c r="E1" s="6"/>
      <c r="F1" s="6"/>
      <c r="G1" s="6"/>
    </row>
    <row r="2" spans="1:7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16</v>
      </c>
    </row>
    <row r="3" spans="1:7" x14ac:dyDescent="0.25">
      <c r="A3">
        <v>2001</v>
      </c>
      <c r="B3" t="s">
        <v>36</v>
      </c>
      <c r="C3" s="9">
        <v>5</v>
      </c>
      <c r="D3" s="9">
        <v>6</v>
      </c>
      <c r="E3" s="9">
        <v>8</v>
      </c>
      <c r="F3" s="9">
        <v>6.3</v>
      </c>
      <c r="G3" s="8" t="str">
        <f>IF(Tabela3[[#This Row],[Média Final]] &gt; 6, "Aprovado", "Reprovado")</f>
        <v>Aprovado</v>
      </c>
    </row>
    <row r="4" spans="1:7" x14ac:dyDescent="0.25">
      <c r="A4">
        <v>2002</v>
      </c>
      <c r="B4" t="s">
        <v>37</v>
      </c>
      <c r="C4" s="9">
        <v>10</v>
      </c>
      <c r="D4" s="9">
        <v>7</v>
      </c>
      <c r="E4" s="9">
        <v>8</v>
      </c>
      <c r="F4" s="9">
        <v>6.3</v>
      </c>
      <c r="G4" s="8" t="str">
        <f>IF(Tabela3[[#This Row],[Média Final]] &gt; 6, "Aprovado", "Reprovado")</f>
        <v>Aprovado</v>
      </c>
    </row>
    <row r="5" spans="1:7" x14ac:dyDescent="0.25">
      <c r="A5">
        <v>2003</v>
      </c>
      <c r="B5" t="s">
        <v>38</v>
      </c>
      <c r="C5" s="9">
        <v>5</v>
      </c>
      <c r="D5" s="9">
        <v>2</v>
      </c>
      <c r="E5" s="9">
        <v>8</v>
      </c>
      <c r="F5" s="9">
        <v>5</v>
      </c>
      <c r="G5" s="8" t="str">
        <f>IF(Tabela3[[#This Row],[Média Final]] &gt; 6, "Aprovado", "Reprovado")</f>
        <v>Reprovado</v>
      </c>
    </row>
    <row r="6" spans="1:7" x14ac:dyDescent="0.25">
      <c r="A6">
        <v>2004</v>
      </c>
      <c r="B6" t="s">
        <v>39</v>
      </c>
      <c r="C6" s="9">
        <v>2</v>
      </c>
      <c r="D6" s="9">
        <v>1</v>
      </c>
      <c r="E6" s="9">
        <v>3</v>
      </c>
      <c r="F6" s="9">
        <v>2</v>
      </c>
      <c r="G6" s="8" t="str">
        <f>IF(Tabela3[[#This Row],[Média Final]] &gt; 6, "Aprovado", "Reprovado")</f>
        <v>Reprovado</v>
      </c>
    </row>
    <row r="7" spans="1:7" x14ac:dyDescent="0.25">
      <c r="A7">
        <v>2005</v>
      </c>
      <c r="B7" t="s">
        <v>40</v>
      </c>
      <c r="C7" s="9">
        <v>4</v>
      </c>
      <c r="D7" s="9">
        <v>7</v>
      </c>
      <c r="E7" s="9">
        <v>8</v>
      </c>
      <c r="F7" s="9">
        <v>6.3</v>
      </c>
      <c r="G7" s="8" t="str">
        <f>IF(Tabela3[[#This Row],[Média Final]] &gt; 6, "Aprovado", "Reprovado")</f>
        <v>Aprovado</v>
      </c>
    </row>
  </sheetData>
  <mergeCells count="1">
    <mergeCell ref="A1:G1"/>
  </mergeCells>
  <conditionalFormatting sqref="G3:G7">
    <cfRule type="containsText" dxfId="12" priority="5" operator="containsText" text="Reprovado">
      <formula>NOT(ISERROR(SEARCH("Reprovado",G3)))</formula>
    </cfRule>
    <cfRule type="containsText" dxfId="11" priority="6" operator="containsText" text="Aprovado">
      <formula>NOT(ISERROR(SEARCH("Aprovado",G3)))</formula>
    </cfRule>
  </conditionalFormatting>
  <conditionalFormatting sqref="C3:F7">
    <cfRule type="cellIs" dxfId="10" priority="1" operator="greaterThanOrEqual">
      <formula>6</formula>
    </cfRule>
    <cfRule type="cellIs" dxfId="9" priority="2" operator="lessThan">
      <formula>5.9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E5CE-7088-49C6-AA34-8B4894959874}">
  <dimension ref="A1:F13"/>
  <sheetViews>
    <sheetView tabSelected="1" zoomScale="130" zoomScaleNormal="130" workbookViewId="0">
      <selection activeCell="H11" sqref="H11"/>
    </sheetView>
  </sheetViews>
  <sheetFormatPr defaultRowHeight="15" x14ac:dyDescent="0.25"/>
  <cols>
    <col min="1" max="1" width="41.28515625" bestFit="1" customWidth="1"/>
    <col min="2" max="2" width="8.28515625" bestFit="1" customWidth="1"/>
    <col min="3" max="3" width="13.7109375" customWidth="1"/>
    <col min="4" max="4" width="14.42578125" customWidth="1"/>
    <col min="5" max="5" width="26.28515625" bestFit="1" customWidth="1"/>
    <col min="6" max="6" width="11" bestFit="1" customWidth="1"/>
  </cols>
  <sheetData>
    <row r="1" spans="1:6" x14ac:dyDescent="0.25">
      <c r="A1" s="2" t="s">
        <v>47</v>
      </c>
      <c r="B1" s="2"/>
      <c r="C1" s="2"/>
      <c r="D1" s="2"/>
      <c r="E1" s="2"/>
      <c r="F1" s="2"/>
    </row>
    <row r="2" spans="1:6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  <row r="3" spans="1:6" x14ac:dyDescent="0.25">
      <c r="A3" s="1" t="s">
        <v>48</v>
      </c>
      <c r="B3" s="1">
        <v>17</v>
      </c>
      <c r="C3" s="1" t="s">
        <v>53</v>
      </c>
      <c r="D3" s="1" t="s">
        <v>54</v>
      </c>
      <c r="E3" s="1">
        <v>1</v>
      </c>
      <c r="F3" t="str">
        <f>IF(AND(Tabela4[[#This Row],[Idade]]&gt;=18, Tabela4[[#This Row],[Ensino Médio]]="Sim", Tabela4[[#This Row],[Curso Técnico]]="Sim",Tabela4[[#This Row],[Anos de Experiencia na área]]&gt;=3), "Aptop", "Não apto")</f>
        <v>Não apto</v>
      </c>
    </row>
    <row r="4" spans="1:6" x14ac:dyDescent="0.25">
      <c r="A4" s="1" t="s">
        <v>49</v>
      </c>
      <c r="B4" s="1">
        <v>24</v>
      </c>
      <c r="C4" s="1" t="s">
        <v>54</v>
      </c>
      <c r="D4" s="1" t="s">
        <v>54</v>
      </c>
      <c r="E4" s="1">
        <v>3</v>
      </c>
      <c r="F4" t="str">
        <f>IF(AND(Tabela4[[#This Row],[Idade]]&gt;=18, Tabela4[[#This Row],[Ensino Médio]]="Sim", Tabela4[[#This Row],[Curso Técnico]]="Sim",Tabela4[[#This Row],[Anos de Experiencia na área]]&gt;=3), "Aptop", "Não apto")</f>
        <v>Aptop</v>
      </c>
    </row>
    <row r="5" spans="1:6" x14ac:dyDescent="0.25">
      <c r="A5" s="1" t="s">
        <v>50</v>
      </c>
      <c r="B5" s="1">
        <v>28</v>
      </c>
      <c r="C5" s="1" t="s">
        <v>54</v>
      </c>
      <c r="D5" s="1" t="s">
        <v>54</v>
      </c>
      <c r="E5" s="1">
        <v>4</v>
      </c>
      <c r="F5" t="str">
        <f>IF(AND(Tabela4[[#This Row],[Idade]]&gt;=18, Tabela4[[#This Row],[Ensino Médio]]="Sim", Tabela4[[#This Row],[Curso Técnico]]="Sim",Tabela4[[#This Row],[Anos de Experiencia na área]]&gt;=3), "Aptop", "Não apto")</f>
        <v>Aptop</v>
      </c>
    </row>
    <row r="6" spans="1:6" x14ac:dyDescent="0.25">
      <c r="A6" s="1" t="s">
        <v>51</v>
      </c>
      <c r="B6" s="1">
        <v>18</v>
      </c>
      <c r="C6" s="1" t="s">
        <v>54</v>
      </c>
      <c r="D6" s="1" t="s">
        <v>53</v>
      </c>
      <c r="E6" s="1">
        <v>1</v>
      </c>
      <c r="F6" t="str">
        <f>IF(AND(Tabela4[[#This Row],[Idade]]&gt;=18, Tabela4[[#This Row],[Ensino Médio]]="Sim", Tabela4[[#This Row],[Curso Técnico]]="Sim",Tabela4[[#This Row],[Anos de Experiencia na área]]&gt;=3), "Aptop", "Não apto")</f>
        <v>Não apto</v>
      </c>
    </row>
    <row r="7" spans="1:6" x14ac:dyDescent="0.25">
      <c r="A7" s="1" t="s">
        <v>52</v>
      </c>
      <c r="B7" s="1">
        <v>22</v>
      </c>
      <c r="C7" s="1" t="s">
        <v>54</v>
      </c>
      <c r="D7" s="1" t="s">
        <v>54</v>
      </c>
      <c r="E7" s="1">
        <v>2</v>
      </c>
      <c r="F7" t="str">
        <f>IF(AND(Tabela4[[#This Row],[Idade]]&gt;=18, Tabela4[[#This Row],[Ensino Médio]]="Sim", Tabela4[[#This Row],[Curso Técnico]]="Sim",Tabela4[[#This Row],[Anos de Experiencia na área]]&gt;=3), "Aptop", "Não apto")</f>
        <v>Não apto</v>
      </c>
    </row>
    <row r="9" spans="1:6" x14ac:dyDescent="0.25">
      <c r="A9" s="10" t="s">
        <v>55</v>
      </c>
    </row>
    <row r="10" spans="1:6" x14ac:dyDescent="0.25">
      <c r="A10" s="7" t="s">
        <v>56</v>
      </c>
    </row>
    <row r="11" spans="1:6" x14ac:dyDescent="0.25">
      <c r="A11" t="s">
        <v>57</v>
      </c>
    </row>
    <row r="12" spans="1:6" x14ac:dyDescent="0.25">
      <c r="A12" s="7" t="s">
        <v>58</v>
      </c>
    </row>
    <row r="13" spans="1:6" x14ac:dyDescent="0.25">
      <c r="A13" t="s">
        <v>59</v>
      </c>
    </row>
  </sheetData>
  <mergeCells count="1">
    <mergeCell ref="A1:F1"/>
  </mergeCells>
  <conditionalFormatting sqref="F3:F7">
    <cfRule type="containsText" dxfId="0" priority="2" operator="containsText" text="Apto">
      <formula>NOT(ISERROR(SEARCH("Apto",F3)))</formula>
    </cfRule>
    <cfRule type="containsText" dxfId="1" priority="1" operator="containsText" text="Não apto">
      <formula>NOT(ISERROR(SEARCH("Não apto",F3)))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Ex.excel01</vt:lpstr>
      <vt:lpstr>Ex.excel02</vt:lpstr>
      <vt:lpstr>Ex.excel03</vt:lpstr>
      <vt:lpstr>Ex.excel04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SCHEIBLER</dc:creator>
  <cp:lastModifiedBy>EDUARDO SCHEIBLER</cp:lastModifiedBy>
  <dcterms:created xsi:type="dcterms:W3CDTF">2026-09-04T01:26:02Z</dcterms:created>
  <dcterms:modified xsi:type="dcterms:W3CDTF">2026-09-04T02:32:21Z</dcterms:modified>
</cp:coreProperties>
</file>